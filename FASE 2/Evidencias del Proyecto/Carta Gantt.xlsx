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Saul\Desktop\Capstone\VeterinariaPucara\FASE 2\Evidencias del Proyecto\"/>
    </mc:Choice>
  </mc:AlternateContent>
  <xr:revisionPtr revIDLastSave="0" documentId="13_ncr:1_{73DCC7F5-86D1-4A4F-9C77-6CC66123A7D1}" xr6:coauthVersionLast="47" xr6:coauthVersionMax="47" xr10:uidLastSave="{00000000-0000-0000-0000-000000000000}"/>
  <bookViews>
    <workbookView xWindow="-108" yWindow="-108" windowWidth="23256" windowHeight="12456" xr2:uid="{00000000-000D-0000-FFFF-FFFF00000000}"/>
  </bookViews>
  <sheets>
    <sheet name="ProjectSchedule" sheetId="1" r:id="rId1"/>
    <sheet name="Acerca de" sheetId="2" r:id="rId2"/>
  </sheets>
  <definedNames>
    <definedName name="hoy" localSheetId="0">TODAY()</definedName>
    <definedName name="Inicio_del_proyecto">ProjectSchedule!$E$2</definedName>
    <definedName name="Semana_para_mostrar">ProjectSchedule!$E$3</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 i="1" l="1"/>
  <c r="H30" i="1"/>
  <c r="H29" i="1"/>
  <c r="H28" i="1"/>
  <c r="H27" i="1"/>
  <c r="H26" i="1"/>
  <c r="H25" i="1"/>
  <c r="H24" i="1"/>
  <c r="H23" i="1"/>
  <c r="H22" i="1"/>
  <c r="H21" i="1"/>
  <c r="H20" i="1"/>
  <c r="H19" i="1"/>
  <c r="H18" i="1"/>
  <c r="H17" i="1"/>
  <c r="H16" i="1"/>
  <c r="H15" i="1"/>
  <c r="H14" i="1"/>
  <c r="H13" i="1"/>
  <c r="H12" i="1"/>
  <c r="H11" i="1"/>
  <c r="H10" i="1"/>
  <c r="H9" i="1"/>
  <c r="H8" i="1"/>
  <c r="H7" i="1"/>
  <c r="H6" i="1"/>
  <c r="J4" i="1" l="1"/>
  <c r="I5" i="1"/>
  <c r="I3" i="1"/>
  <c r="J5" i="1" l="1"/>
  <c r="K4" i="1"/>
  <c r="K5" i="1" l="1"/>
  <c r="L4" i="1"/>
  <c r="M4" i="1" l="1"/>
  <c r="L5" i="1"/>
  <c r="N4" i="1" l="1"/>
  <c r="M5" i="1"/>
  <c r="O4" i="1" l="1"/>
  <c r="N5" i="1"/>
  <c r="P4" i="1" l="1"/>
  <c r="O5" i="1"/>
  <c r="P3" i="1" l="1"/>
  <c r="Q4" i="1"/>
  <c r="P5" i="1"/>
  <c r="R4" i="1" l="1"/>
  <c r="Q5" i="1"/>
  <c r="R5" i="1" l="1"/>
  <c r="S4" i="1"/>
  <c r="S5" i="1" l="1"/>
  <c r="T4" i="1"/>
  <c r="U4" i="1" l="1"/>
  <c r="T5" i="1"/>
  <c r="V4" i="1" l="1"/>
  <c r="U5" i="1"/>
  <c r="W4" i="1" l="1"/>
  <c r="V5" i="1"/>
  <c r="W3" i="1" l="1"/>
  <c r="X4" i="1"/>
  <c r="W5" i="1"/>
  <c r="Y4" i="1" l="1"/>
  <c r="X5" i="1"/>
  <c r="Z4" i="1" l="1"/>
  <c r="Y5" i="1"/>
  <c r="Z5" i="1" l="1"/>
  <c r="AA4" i="1"/>
  <c r="AA5" i="1" l="1"/>
  <c r="AB4" i="1"/>
  <c r="AC4" i="1" l="1"/>
  <c r="AB5" i="1"/>
  <c r="AD4" i="1" l="1"/>
  <c r="AC5" i="1"/>
  <c r="AE4" i="1" l="1"/>
  <c r="AD5" i="1"/>
  <c r="AD3" i="1"/>
  <c r="AF4" i="1" l="1"/>
  <c r="AE5" i="1"/>
  <c r="AG4" i="1" l="1"/>
  <c r="AF5" i="1"/>
  <c r="AH4" i="1" l="1"/>
  <c r="AG5" i="1"/>
  <c r="AH5" i="1" l="1"/>
  <c r="AI4" i="1"/>
  <c r="AJ4" i="1" l="1"/>
  <c r="AI5" i="1"/>
  <c r="AK4" i="1" l="1"/>
  <c r="AJ5" i="1"/>
  <c r="AL4" i="1" l="1"/>
  <c r="AK5" i="1"/>
  <c r="AK3" i="1"/>
  <c r="AM4" i="1" l="1"/>
  <c r="AL5" i="1"/>
  <c r="AN4" i="1" l="1"/>
  <c r="AM5" i="1"/>
  <c r="AO4" i="1" l="1"/>
  <c r="AN5" i="1"/>
  <c r="AP4" i="1" l="1"/>
  <c r="AO5" i="1"/>
  <c r="AP5" i="1" l="1"/>
  <c r="AQ4" i="1"/>
  <c r="AQ5" i="1" l="1"/>
  <c r="AR4" i="1"/>
  <c r="AR3" i="1" l="1"/>
  <c r="AS4" i="1"/>
  <c r="AR5" i="1"/>
  <c r="AT4" i="1" l="1"/>
  <c r="AS5" i="1"/>
  <c r="AU4" i="1" l="1"/>
  <c r="AT5" i="1"/>
  <c r="AV4" i="1" l="1"/>
  <c r="AU5" i="1"/>
  <c r="AW4" i="1" l="1"/>
  <c r="AV5" i="1"/>
  <c r="AX4" i="1" l="1"/>
  <c r="AW5" i="1"/>
  <c r="AX5" i="1" l="1"/>
  <c r="AY4" i="1"/>
  <c r="AY5" i="1" l="1"/>
  <c r="AY3" i="1"/>
  <c r="AZ4" i="1"/>
  <c r="BA4" i="1" l="1"/>
  <c r="AZ5" i="1"/>
  <c r="BB4" i="1" l="1"/>
  <c r="BA5" i="1"/>
  <c r="BC4" i="1" l="1"/>
  <c r="BB5" i="1"/>
  <c r="BD4" i="1" l="1"/>
  <c r="BC5" i="1"/>
  <c r="BE4" i="1" l="1"/>
  <c r="BD5" i="1"/>
  <c r="BF4" i="1" l="1"/>
  <c r="BE5" i="1"/>
  <c r="BF5" i="1" l="1"/>
  <c r="BG4" i="1"/>
  <c r="BF3" i="1"/>
  <c r="BG5" i="1" l="1"/>
  <c r="BH4" i="1"/>
  <c r="BI4" i="1" l="1"/>
  <c r="BH5" i="1"/>
  <c r="BJ4" i="1" l="1"/>
  <c r="BI5" i="1"/>
  <c r="BK4" i="1" l="1"/>
  <c r="BJ5" i="1"/>
  <c r="BL4" i="1" l="1"/>
  <c r="BL5" i="1" s="1"/>
  <c r="BK5" i="1"/>
</calcChain>
</file>

<file path=xl/sharedStrings.xml><?xml version="1.0" encoding="utf-8"?>
<sst xmlns="http://schemas.openxmlformats.org/spreadsheetml/2006/main" count="90" uniqueCount="66">
  <si>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</si>
  <si>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Sistema Web Clínica Veterinaria Pucará</t>
  </si>
  <si>
    <t>GRÁFICO GANTT SIMPLE de Vertex42.com</t>
  </si>
  <si>
    <t>https://www.vertex42.com/ExcelTemplates/simple-gantt-chart.html</t>
  </si>
  <si>
    <t>Escriba el nombre del responsable del proyecto en la celda B3. Escriba la fecha de comienzo del proyecto en la celda E3. Inicio del proyecto: la etiqueta se encuentra en la celda C3.</t>
  </si>
  <si>
    <t>Saúl Ávila</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</si>
  <si>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</si>
  <si>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</si>
  <si>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</si>
  <si>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</si>
  <si>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</si>
  <si>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</si>
  <si>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</si>
  <si>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</si>
  <si>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</si>
  <si>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</si>
  <si>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</si>
  <si>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</si>
  <si>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100%</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</si>
  <si>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</si>
  <si>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Levantamiento de requerimientos</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</si>
  <si>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</si>
  <si>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Diseño de arquitectura</t>
  </si>
  <si>
    <t>Modelo de base de datos</t>
  </si>
  <si>
    <t>Mario Garrido</t>
  </si>
  <si>
    <t>Documentación inicial</t>
  </si>
  <si>
    <t>Revisión de requerimientos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</si>
  <si>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</si>
  <si>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Desarrollo Backend</t>
  </si>
  <si>
    <t>Gestión de usuarios y roles</t>
  </si>
  <si>
    <t>Integración Base de Datos</t>
  </si>
  <si>
    <t>Diseño interfaz de usuario</t>
  </si>
  <si>
    <t>Integración Frontend / Backend</t>
  </si>
  <si>
    <t>Bloque de título fase de ejemplo</t>
  </si>
  <si>
    <t>Pruebas funcionales parciales</t>
  </si>
  <si>
    <t>Sistema de notificaciones</t>
  </si>
  <si>
    <t>Sistema de evaluaciones</t>
  </si>
  <si>
    <t>Panel administrativo</t>
  </si>
  <si>
    <t>Pruebas finales</t>
  </si>
  <si>
    <t>Documentación final</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</si>
  <si>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</si>
  <si>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</si>
  <si>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</si>
  <si>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</si>
  <si>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</si>
  <si>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</si>
  <si>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</si>
  <si>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</si>
  <si>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</si>
  <si>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</si>
  <si>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</si>
  <si>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</si>
  <si>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</si>
  <si>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</si>
  <si>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</si>
  <si>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</si>
  <si>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ASIGNADO</t>
  </si>
  <si>
    <t>Fase 1 (Sprint 1)</t>
  </si>
  <si>
    <t>Fase 2 (Sprint 2 y 3)</t>
  </si>
  <si>
    <t>Fase 4 (Sprint 4)</t>
  </si>
  <si>
    <t>Preparacion del ambiente</t>
  </si>
  <si>
    <t>Saúl Ávila / Mario Garrido</t>
  </si>
  <si>
    <t>Selección de Softwares a utilizar</t>
  </si>
  <si>
    <t>Saul Avila</t>
  </si>
  <si>
    <t>Rediseño Backend</t>
  </si>
  <si>
    <t>Reunion con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</si>
</sst>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
    <numFmt numFmtId="165" formatCode="d"/>
    <numFmt numFmtId="166" formatCode="[$-C0A]d\ &quot;de&quot;\ mmmm\ &quot;de&quot;\ yyyy;@"/>
    <numFmt numFmtId="167" formatCode="ddd\,\ m/d/yyyy"/>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1"/>
      <name val="Calibri"/>
      <family val="2"/>
    </font>
  </fonts>
  <fills count="10">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0B4"/>
      </patternFill>
    </fill>
    <fill>
      <patternFill patternType="solid">
        <fgColor rgb="FFFFE699"/>
      </patternFill>
    </fill>
    <fill>
      <patternFill patternType="solid">
        <fgColor rgb="FFF8CBAD"/>
      </patternFill>
    </fill>
  </fills>
  <borders count="21">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medium">
        <color theme="0" tint="-0.14993743705557422"/>
      </top>
      <bottom style="thin">
        <color indexed="64"/>
      </bottom>
      <diagonal/>
    </border>
    <border>
      <left style="thin">
        <color auto="1"/>
      </left>
      <right style="thin">
        <color auto="1"/>
      </right>
      <top/>
      <bottom style="thin">
        <color auto="1"/>
      </bottom>
      <diagonal/>
    </border>
    <border>
      <left/>
      <right/>
      <top style="medium">
        <color theme="0" tint="-0.14993743705557422"/>
      </top>
      <bottom style="thin">
        <color indexed="64"/>
      </bottom>
      <diagonal/>
    </border>
    <border>
      <left/>
      <right style="thin">
        <color indexed="64"/>
      </right>
      <top style="medium">
        <color theme="0" tint="-0.14993743705557422"/>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3" fillId="0" borderId="0">
      <alignment vertical="top"/>
      <protection locked="0"/>
    </xf>
    <xf numFmtId="9" fontId="9" fillId="0" borderId="0"/>
    <xf numFmtId="0" fontId="22" fillId="0" borderId="0"/>
    <xf numFmtId="0" fontId="13" fillId="0" borderId="0"/>
    <xf numFmtId="0" fontId="10" fillId="0" borderId="0">
      <alignment vertical="top"/>
    </xf>
    <xf numFmtId="0" fontId="9" fillId="0" borderId="0">
      <alignment horizontal="right" indent="1"/>
    </xf>
    <xf numFmtId="167" fontId="9" fillId="0" borderId="3">
      <alignment horizontal="center" vertical="center"/>
    </xf>
    <xf numFmtId="164" fontId="9" fillId="0" borderId="2">
      <alignment horizontal="center" vertical="center"/>
    </xf>
    <xf numFmtId="0" fontId="9" fillId="0" borderId="2">
      <alignment horizontal="center" vertical="center"/>
    </xf>
    <xf numFmtId="0" fontId="9" fillId="0" borderId="2">
      <alignment horizontal="left" vertical="center" indent="2"/>
    </xf>
  </cellStyleXfs>
  <cellXfs count="11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6" borderId="1" xfId="0" applyFont="1" applyFill="1" applyBorder="1" applyAlignment="1">
      <alignment horizontal="left" vertical="center" indent="1"/>
    </xf>
    <xf numFmtId="0" fontId="7" fillId="6" borderId="1" xfId="0" applyFont="1" applyFill="1" applyBorder="1" applyAlignment="1">
      <alignment horizontal="center" vertical="center" wrapText="1"/>
    </xf>
    <xf numFmtId="0" fontId="12" fillId="5" borderId="7"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0" borderId="8" xfId="0" applyBorder="1" applyAlignment="1">
      <alignment horizontal="right" vertical="center"/>
    </xf>
    <xf numFmtId="0" fontId="0" fillId="2" borderId="8"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4" applyAlignment="1">
      <alignment horizontal="left"/>
    </xf>
    <xf numFmtId="0" fontId="10" fillId="0" borderId="0" xfId="5" applyAlignment="1">
      <alignment vertical="top"/>
    </xf>
    <xf numFmtId="0" fontId="0" fillId="0" borderId="9" xfId="0" applyBorder="1"/>
    <xf numFmtId="0" fontId="23" fillId="0" borderId="0" xfId="0" applyFont="1"/>
    <xf numFmtId="0" fontId="5" fillId="0" borderId="0" xfId="0" applyFont="1" applyAlignment="1">
      <alignment vertical="top"/>
    </xf>
    <xf numFmtId="165" fontId="11" fillId="3" borderId="5" xfId="0" applyNumberFormat="1" applyFont="1" applyFill="1" applyBorder="1" applyAlignment="1">
      <alignment horizontal="center" vertical="center"/>
    </xf>
    <xf numFmtId="165" fontId="11" fillId="3" borderId="0" xfId="0" applyNumberFormat="1" applyFont="1" applyFill="1" applyAlignment="1">
      <alignment horizontal="center" vertical="center"/>
    </xf>
    <xf numFmtId="165" fontId="11" fillId="3" borderId="6" xfId="0" applyNumberFormat="1" applyFont="1" applyFill="1" applyBorder="1" applyAlignment="1">
      <alignment horizontal="center" vertical="center"/>
    </xf>
    <xf numFmtId="0" fontId="9" fillId="7" borderId="12" xfId="10" applyFill="1" applyBorder="1" applyAlignment="1">
      <alignment horizontal="left" vertical="center" indent="2"/>
    </xf>
    <xf numFmtId="9" fontId="5" fillId="7" borderId="12" xfId="2" applyFont="1" applyFill="1" applyBorder="1" applyAlignment="1">
      <alignment horizontal="center" vertical="center"/>
    </xf>
    <xf numFmtId="164" fontId="9" fillId="7" borderId="12" xfId="8" applyFill="1" applyBorder="1" applyAlignment="1">
      <alignment horizontal="center" vertical="center"/>
    </xf>
    <xf numFmtId="0" fontId="5" fillId="7" borderId="12" xfId="0" applyFont="1" applyFill="1" applyBorder="1" applyAlignment="1">
      <alignment horizontal="center" vertical="center"/>
    </xf>
    <xf numFmtId="9" fontId="5" fillId="8" borderId="12" xfId="2" applyFont="1" applyFill="1" applyBorder="1" applyAlignment="1">
      <alignment horizontal="center" vertical="center"/>
    </xf>
    <xf numFmtId="0" fontId="5" fillId="8" borderId="12" xfId="0" applyFont="1" applyFill="1" applyBorder="1" applyAlignment="1">
      <alignment horizontal="center" vertical="center"/>
    </xf>
    <xf numFmtId="0" fontId="9" fillId="8" borderId="12" xfId="10" applyFill="1" applyBorder="1" applyAlignment="1">
      <alignment horizontal="left" vertical="center" indent="2"/>
    </xf>
    <xf numFmtId="164" fontId="9" fillId="8" borderId="12" xfId="8" applyFill="1" applyBorder="1" applyAlignment="1">
      <alignment horizontal="center" vertical="center"/>
    </xf>
    <xf numFmtId="0" fontId="9" fillId="9" borderId="12" xfId="10" applyFill="1" applyBorder="1" applyAlignment="1">
      <alignment horizontal="left" vertical="center" indent="2"/>
    </xf>
    <xf numFmtId="9" fontId="5" fillId="9" borderId="12" xfId="2" applyFont="1" applyFill="1" applyBorder="1" applyAlignment="1">
      <alignment horizontal="center" vertical="center"/>
    </xf>
    <xf numFmtId="164" fontId="9" fillId="9" borderId="12" xfId="8" applyFill="1" applyBorder="1" applyAlignment="1">
      <alignment horizontal="center" vertical="center"/>
    </xf>
    <xf numFmtId="0" fontId="5" fillId="9" borderId="12" xfId="0" applyFont="1" applyFill="1" applyBorder="1" applyAlignment="1">
      <alignment horizontal="center" vertical="center"/>
    </xf>
    <xf numFmtId="0" fontId="6" fillId="9" borderId="12" xfId="0" applyFont="1" applyFill="1" applyBorder="1" applyAlignment="1">
      <alignment horizontal="left" vertical="center" indent="1"/>
    </xf>
    <xf numFmtId="164" fontId="5" fillId="9" borderId="12" xfId="0" applyNumberFormat="1"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14" fontId="0" fillId="0" borderId="0" xfId="0" applyNumberFormat="1"/>
    <xf numFmtId="0" fontId="24" fillId="7" borderId="12" xfId="0" applyFont="1" applyFill="1" applyBorder="1" applyAlignment="1">
      <alignment horizontal="center" vertical="center"/>
    </xf>
    <xf numFmtId="14" fontId="24" fillId="7" borderId="12" xfId="0" applyNumberFormat="1" applyFont="1" applyFill="1" applyBorder="1" applyAlignment="1">
      <alignment horizontal="center" vertical="center"/>
    </xf>
    <xf numFmtId="0" fontId="24" fillId="7" borderId="14" xfId="0" applyFont="1" applyFill="1" applyBorder="1" applyAlignment="1">
      <alignment horizontal="center" vertical="center"/>
    </xf>
    <xf numFmtId="0" fontId="6" fillId="4" borderId="13" xfId="0" applyFont="1" applyFill="1" applyBorder="1" applyAlignment="1">
      <alignment horizontal="left" vertical="center" indent="1"/>
    </xf>
    <xf numFmtId="0" fontId="9" fillId="4" borderId="15" xfId="9" applyFill="1" applyBorder="1" applyAlignment="1">
      <alignment horizontal="center" vertical="center"/>
    </xf>
    <xf numFmtId="164" fontId="9" fillId="7" borderId="14" xfId="8" applyFill="1" applyBorder="1" applyAlignment="1">
      <alignment horizontal="center" vertical="center"/>
    </xf>
    <xf numFmtId="14" fontId="24" fillId="7" borderId="14" xfId="0" applyNumberFormat="1" applyFont="1" applyFill="1" applyBorder="1" applyAlignment="1">
      <alignment horizontal="center" vertical="center"/>
    </xf>
    <xf numFmtId="0" fontId="5" fillId="7" borderId="14" xfId="0" applyFont="1" applyFill="1" applyBorder="1" applyAlignment="1">
      <alignment horizontal="center" vertical="center"/>
    </xf>
    <xf numFmtId="9" fontId="5" fillId="4" borderId="15" xfId="2" applyFont="1" applyFill="1" applyBorder="1" applyAlignment="1">
      <alignment horizontal="center" vertical="center"/>
    </xf>
    <xf numFmtId="164" fontId="0" fillId="4" borderId="15" xfId="0" applyNumberFormat="1" applyFill="1" applyBorder="1" applyAlignment="1">
      <alignment horizontal="center" vertical="center"/>
    </xf>
    <xf numFmtId="164" fontId="5" fillId="4" borderId="15" xfId="0" applyNumberFormat="1" applyFont="1" applyFill="1" applyBorder="1" applyAlignment="1">
      <alignment horizontal="center" vertical="center"/>
    </xf>
    <xf numFmtId="164" fontId="5" fillId="4" borderId="16" xfId="0" applyNumberFormat="1" applyFont="1" applyFill="1" applyBorder="1" applyAlignment="1">
      <alignment horizontal="center" vertical="center"/>
    </xf>
    <xf numFmtId="0" fontId="9" fillId="7" borderId="17" xfId="10" applyFill="1" applyBorder="1" applyAlignment="1">
      <alignment horizontal="left" vertical="center" indent="2"/>
    </xf>
    <xf numFmtId="9" fontId="5" fillId="7" borderId="17" xfId="2" applyFont="1" applyFill="1" applyBorder="1" applyAlignment="1">
      <alignment horizontal="center" vertical="center"/>
    </xf>
    <xf numFmtId="164" fontId="9" fillId="7" borderId="17" xfId="8" applyFill="1" applyBorder="1" applyAlignment="1">
      <alignment horizontal="center" vertical="center"/>
    </xf>
    <xf numFmtId="0" fontId="5" fillId="7" borderId="17" xfId="0" applyFont="1" applyFill="1" applyBorder="1" applyAlignment="1">
      <alignment horizontal="center" vertical="center"/>
    </xf>
    <xf numFmtId="0" fontId="0" fillId="8" borderId="14" xfId="0" applyFont="1" applyFill="1" applyBorder="1" applyAlignment="1">
      <alignment horizontal="center" vertical="center"/>
    </xf>
    <xf numFmtId="9" fontId="5" fillId="8" borderId="14" xfId="2" applyFont="1" applyFill="1" applyBorder="1" applyAlignment="1">
      <alignment horizontal="center" vertical="center"/>
    </xf>
    <xf numFmtId="164" fontId="5" fillId="8" borderId="14" xfId="0" applyNumberFormat="1" applyFont="1" applyFill="1" applyBorder="1" applyAlignment="1">
      <alignment horizontal="center" vertical="center"/>
    </xf>
    <xf numFmtId="0" fontId="5" fillId="8" borderId="14" xfId="0" applyFont="1" applyFill="1" applyBorder="1" applyAlignment="1">
      <alignment horizontal="center" vertical="center"/>
    </xf>
    <xf numFmtId="0" fontId="6" fillId="4" borderId="18" xfId="0" applyFont="1" applyFill="1" applyBorder="1" applyAlignment="1">
      <alignment horizontal="left" vertical="center" indent="1"/>
    </xf>
    <xf numFmtId="0" fontId="9" fillId="4" borderId="19" xfId="9" applyFill="1" applyBorder="1" applyAlignment="1">
      <alignment horizontal="center" vertical="center"/>
    </xf>
    <xf numFmtId="9" fontId="5" fillId="4" borderId="19" xfId="2" applyFont="1" applyFill="1" applyBorder="1" applyAlignment="1">
      <alignment horizontal="center" vertical="center"/>
    </xf>
    <xf numFmtId="164" fontId="0" fillId="4" borderId="19" xfId="0" applyNumberFormat="1" applyFill="1" applyBorder="1" applyAlignment="1">
      <alignment horizontal="center" vertical="center"/>
    </xf>
    <xf numFmtId="164" fontId="5" fillId="4" borderId="19" xfId="0" applyNumberFormat="1" applyFont="1" applyFill="1" applyBorder="1" applyAlignment="1">
      <alignment horizontal="center" vertical="center"/>
    </xf>
    <xf numFmtId="164" fontId="5" fillId="4" borderId="20" xfId="0" applyNumberFormat="1" applyFont="1" applyFill="1" applyBorder="1" applyAlignment="1">
      <alignment horizontal="center" vertical="center"/>
    </xf>
    <xf numFmtId="0" fontId="9" fillId="8" borderId="17" xfId="10" applyFill="1" applyBorder="1" applyAlignment="1">
      <alignment horizontal="left" vertical="center" indent="2"/>
    </xf>
    <xf numFmtId="9" fontId="5" fillId="8" borderId="17" xfId="2" applyFont="1" applyFill="1" applyBorder="1" applyAlignment="1">
      <alignment horizontal="center" vertical="center"/>
    </xf>
    <xf numFmtId="164" fontId="9" fillId="8" borderId="17" xfId="8" applyFill="1" applyBorder="1" applyAlignment="1">
      <alignment horizontal="center" vertical="center"/>
    </xf>
    <xf numFmtId="0" fontId="5" fillId="8" borderId="17" xfId="0" applyFont="1" applyFill="1" applyBorder="1" applyAlignment="1">
      <alignment horizontal="center" vertical="center"/>
    </xf>
    <xf numFmtId="0" fontId="9" fillId="9" borderId="14" xfId="10" applyFill="1" applyBorder="1" applyAlignment="1">
      <alignment horizontal="left" vertical="center" indent="2"/>
    </xf>
    <xf numFmtId="9" fontId="5" fillId="9" borderId="14" xfId="2" applyFont="1" applyFill="1" applyBorder="1" applyAlignment="1">
      <alignment horizontal="center" vertical="center"/>
    </xf>
    <xf numFmtId="164" fontId="9" fillId="9" borderId="14" xfId="8" applyFill="1" applyBorder="1" applyAlignment="1">
      <alignment horizontal="center" vertical="center"/>
    </xf>
    <xf numFmtId="0" fontId="5" fillId="9" borderId="14" xfId="0" applyFont="1" applyFill="1" applyBorder="1" applyAlignment="1">
      <alignment horizontal="center" vertical="center"/>
    </xf>
    <xf numFmtId="14" fontId="5" fillId="7" borderId="12" xfId="0" applyNumberFormat="1" applyFont="1" applyFill="1" applyBorder="1" applyAlignment="1">
      <alignment horizontal="center" vertical="center"/>
    </xf>
    <xf numFmtId="14" fontId="5" fillId="7" borderId="17" xfId="0" applyNumberFormat="1" applyFont="1" applyFill="1" applyBorder="1" applyAlignment="1">
      <alignment horizontal="center" vertical="center"/>
    </xf>
    <xf numFmtId="14" fontId="5" fillId="8" borderId="14" xfId="0" applyNumberFormat="1" applyFont="1" applyFill="1" applyBorder="1" applyAlignment="1">
      <alignment horizontal="center" vertical="center"/>
    </xf>
    <xf numFmtId="14" fontId="5" fillId="8" borderId="12" xfId="0" applyNumberFormat="1" applyFont="1" applyFill="1" applyBorder="1" applyAlignment="1">
      <alignment horizontal="center" vertical="center"/>
    </xf>
    <xf numFmtId="9" fontId="9" fillId="8" borderId="12" xfId="8" applyNumberFormat="1" applyFill="1" applyBorder="1" applyAlignment="1">
      <alignment horizontal="center" vertical="center"/>
    </xf>
    <xf numFmtId="14" fontId="5" fillId="8" borderId="17" xfId="0" applyNumberFormat="1" applyFont="1" applyFill="1" applyBorder="1" applyAlignment="1">
      <alignment horizontal="center" vertical="center"/>
    </xf>
    <xf numFmtId="14" fontId="5" fillId="9" borderId="14" xfId="0" applyNumberFormat="1" applyFont="1" applyFill="1" applyBorder="1" applyAlignment="1">
      <alignment horizontal="center" vertical="center"/>
    </xf>
    <xf numFmtId="14" fontId="5" fillId="9" borderId="12" xfId="0" applyNumberFormat="1" applyFont="1" applyFill="1" applyBorder="1" applyAlignment="1">
      <alignment horizontal="center" vertical="center"/>
    </xf>
    <xf numFmtId="9" fontId="9" fillId="9" borderId="12" xfId="8" applyNumberFormat="1" applyFill="1" applyBorder="1" applyAlignment="1">
      <alignment horizontal="center" vertical="center"/>
    </xf>
    <xf numFmtId="9" fontId="9" fillId="9" borderId="14" xfId="8" applyNumberFormat="1" applyFill="1" applyBorder="1" applyAlignment="1">
      <alignment horizontal="center" vertical="center"/>
    </xf>
    <xf numFmtId="0" fontId="9" fillId="0" borderId="6" xfId="6" applyBorder="1" applyAlignment="1">
      <alignment horizontal="right" indent="1"/>
    </xf>
    <xf numFmtId="0" fontId="0" fillId="0" borderId="6" xfId="0" applyBorder="1"/>
    <xf numFmtId="166" fontId="0" fillId="3" borderId="10" xfId="0" applyNumberFormat="1" applyFill="1" applyBorder="1" applyAlignment="1">
      <alignment horizontal="left" vertical="center" wrapText="1" indent="1"/>
    </xf>
    <xf numFmtId="0" fontId="0" fillId="0" borderId="1" xfId="0" applyBorder="1"/>
    <xf numFmtId="0" fontId="0" fillId="0" borderId="4" xfId="0" applyBorder="1"/>
    <xf numFmtId="167" fontId="9" fillId="0" borderId="3" xfId="7" applyAlignment="1">
      <alignment horizontal="center" vertical="center"/>
    </xf>
    <xf numFmtId="0" fontId="0" fillId="0" borderId="11" xfId="0" applyBorder="1"/>
  </cellXfs>
  <cellStyles count="11">
    <cellStyle name="Fecha" xfId="8" xr:uid="{00000000-0005-0000-0000-00000A000000}"/>
    <cellStyle name="Hipervínculo" xfId="1" builtinId="8"/>
    <cellStyle name="Inicio del proyecto" xfId="7" xr:uid="{00000000-0005-0000-0000-000009000000}"/>
    <cellStyle name="Nombre" xfId="9" xr:uid="{00000000-0005-0000-0000-00000B000000}"/>
    <cellStyle name="Normal" xfId="0" builtinId="0"/>
    <cellStyle name="Porcentaje" xfId="2" builtinId="5"/>
    <cellStyle name="Tarea" xfId="10" xr:uid="{00000000-0005-0000-0000-00000C000000}"/>
    <cellStyle name="Título" xfId="4" builtinId="15"/>
    <cellStyle name="Título 2" xfId="5" builtinId="17"/>
    <cellStyle name="Título 3" xfId="6" builtinId="18"/>
    <cellStyle name="zTextoOculto" xfId="3" xr:uid="{00000000-0005-0000-0000-000003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0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help" TargetMode="External"/><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zoomScale="60" zoomScaleNormal="60" zoomScalePageLayoutView="70" workbookViewId="0">
      <pane ySplit="5" topLeftCell="A6" activePane="bottomLeft" state="frozen"/>
      <selection pane="bottomLeft" activeCell="S11" sqref="S11"/>
    </sheetView>
  </sheetViews>
  <sheetFormatPr baseColWidth="10" defaultColWidth="9.109375" defaultRowHeight="30" customHeight="1" x14ac:dyDescent="0.3"/>
  <cols>
    <col min="1" max="1" width="2.6640625" style="32" customWidth="1"/>
    <col min="2" max="2" width="29.44140625" customWidth="1"/>
    <col min="3" max="3" width="26.21875" customWidth="1"/>
    <col min="4" max="4" width="10.6640625" customWidth="1"/>
    <col min="5" max="5" width="11.5546875" style="5" customWidth="1"/>
    <col min="6" max="6" width="12" customWidth="1"/>
    <col min="7" max="7" width="2.6640625" customWidth="1"/>
    <col min="8" max="8" width="9.44140625" hidden="1" customWidth="1"/>
    <col min="9" max="14" width="3.33203125" customWidth="1"/>
    <col min="15" max="15" width="7.21875" customWidth="1"/>
    <col min="16" max="28" width="3.33203125" customWidth="1"/>
    <col min="29" max="29" width="6.109375" customWidth="1"/>
    <col min="30" max="35" width="3.33203125" customWidth="1"/>
    <col min="36" max="36" width="6.6640625" customWidth="1"/>
    <col min="37" max="42" width="3.33203125" customWidth="1"/>
    <col min="43" max="43" width="7.44140625" customWidth="1"/>
    <col min="44" max="49" width="3.33203125" customWidth="1"/>
    <col min="50" max="50" width="6.77734375" customWidth="1"/>
    <col min="51" max="56" width="3.33203125" customWidth="1"/>
    <col min="57" max="57" width="7.5546875" customWidth="1"/>
    <col min="58" max="63" width="3.33203125" customWidth="1"/>
    <col min="64" max="64" width="7.44140625" customWidth="1"/>
    <col min="69" max="70" width="10.33203125" customWidth="1"/>
  </cols>
  <sheetData>
    <row r="1" spans="1:64" ht="30" customHeight="1" x14ac:dyDescent="0.55000000000000004">
      <c r="A1" s="33" t="s">
        <v>0</v>
      </c>
      <c r="B1" s="36" t="s">
        <v>1</v>
      </c>
      <c r="C1" s="1"/>
      <c r="D1" s="2"/>
      <c r="E1" s="4"/>
      <c r="F1" s="21"/>
      <c r="H1" s="2"/>
      <c r="I1" s="39" t="s">
        <v>2</v>
      </c>
    </row>
    <row r="2" spans="1:64" ht="30" customHeight="1" x14ac:dyDescent="0.3">
      <c r="A2" s="32" t="s">
        <v>4</v>
      </c>
      <c r="B2" s="37"/>
      <c r="C2" s="105" t="s">
        <v>6</v>
      </c>
      <c r="D2" s="106"/>
      <c r="E2" s="110">
        <v>45887</v>
      </c>
      <c r="F2" s="111"/>
      <c r="G2" s="60">
        <v>45880</v>
      </c>
    </row>
    <row r="3" spans="1:64" ht="30" customHeight="1" x14ac:dyDescent="0.3">
      <c r="A3" s="33" t="s">
        <v>7</v>
      </c>
      <c r="C3" s="105" t="s">
        <v>8</v>
      </c>
      <c r="D3" s="106"/>
      <c r="E3" s="7">
        <v>1</v>
      </c>
      <c r="I3" s="107">
        <f>I4</f>
        <v>45887</v>
      </c>
      <c r="J3" s="108"/>
      <c r="K3" s="108"/>
      <c r="L3" s="108"/>
      <c r="M3" s="108"/>
      <c r="N3" s="108"/>
      <c r="O3" s="109"/>
      <c r="P3" s="107">
        <f>P4</f>
        <v>45894</v>
      </c>
      <c r="Q3" s="108"/>
      <c r="R3" s="108"/>
      <c r="S3" s="108"/>
      <c r="T3" s="108"/>
      <c r="U3" s="108"/>
      <c r="V3" s="109"/>
      <c r="W3" s="107">
        <f>W4</f>
        <v>45901</v>
      </c>
      <c r="X3" s="108"/>
      <c r="Y3" s="108"/>
      <c r="Z3" s="108"/>
      <c r="AA3" s="108"/>
      <c r="AB3" s="108"/>
      <c r="AC3" s="109"/>
      <c r="AD3" s="107">
        <f>AD4</f>
        <v>45908</v>
      </c>
      <c r="AE3" s="108"/>
      <c r="AF3" s="108"/>
      <c r="AG3" s="108"/>
      <c r="AH3" s="108"/>
      <c r="AI3" s="108"/>
      <c r="AJ3" s="109"/>
      <c r="AK3" s="107">
        <f>AK4</f>
        <v>45915</v>
      </c>
      <c r="AL3" s="108"/>
      <c r="AM3" s="108"/>
      <c r="AN3" s="108"/>
      <c r="AO3" s="108"/>
      <c r="AP3" s="108"/>
      <c r="AQ3" s="109"/>
      <c r="AR3" s="107">
        <f>AR4</f>
        <v>45922</v>
      </c>
      <c r="AS3" s="108"/>
      <c r="AT3" s="108"/>
      <c r="AU3" s="108"/>
      <c r="AV3" s="108"/>
      <c r="AW3" s="108"/>
      <c r="AX3" s="109"/>
      <c r="AY3" s="107">
        <f>AY4</f>
        <v>45929</v>
      </c>
      <c r="AZ3" s="108"/>
      <c r="BA3" s="108"/>
      <c r="BB3" s="108"/>
      <c r="BC3" s="108"/>
      <c r="BD3" s="108"/>
      <c r="BE3" s="109"/>
      <c r="BF3" s="107">
        <f>BF4</f>
        <v>45936</v>
      </c>
      <c r="BG3" s="108"/>
      <c r="BH3" s="108"/>
      <c r="BI3" s="108"/>
      <c r="BJ3" s="108"/>
      <c r="BK3" s="108"/>
      <c r="BL3" s="109"/>
    </row>
    <row r="4" spans="1:64" ht="15" customHeight="1" x14ac:dyDescent="0.3">
      <c r="A4" s="33" t="s">
        <v>9</v>
      </c>
      <c r="B4" s="38"/>
      <c r="C4" s="38"/>
      <c r="D4" s="38"/>
      <c r="E4" s="38"/>
      <c r="F4" s="38"/>
      <c r="G4" s="38"/>
      <c r="I4" s="41">
        <f>Inicio_del_proyecto-WEEKDAY(Inicio_del_proyecto,1)+2+7*(Semana_para_mostrar-1)</f>
        <v>45887</v>
      </c>
      <c r="J4" s="42">
        <f t="shared" ref="J4:AO4" si="0">I4+1</f>
        <v>45888</v>
      </c>
      <c r="K4" s="42">
        <f t="shared" si="0"/>
        <v>45889</v>
      </c>
      <c r="L4" s="42">
        <f t="shared" si="0"/>
        <v>45890</v>
      </c>
      <c r="M4" s="42">
        <f t="shared" si="0"/>
        <v>45891</v>
      </c>
      <c r="N4" s="42">
        <f t="shared" si="0"/>
        <v>45892</v>
      </c>
      <c r="O4" s="43">
        <f t="shared" si="0"/>
        <v>45893</v>
      </c>
      <c r="P4" s="41">
        <f t="shared" si="0"/>
        <v>45894</v>
      </c>
      <c r="Q4" s="42">
        <f t="shared" si="0"/>
        <v>45895</v>
      </c>
      <c r="R4" s="42">
        <f t="shared" si="0"/>
        <v>45896</v>
      </c>
      <c r="S4" s="42">
        <f t="shared" si="0"/>
        <v>45897</v>
      </c>
      <c r="T4" s="42">
        <f t="shared" si="0"/>
        <v>45898</v>
      </c>
      <c r="U4" s="42">
        <f t="shared" si="0"/>
        <v>45899</v>
      </c>
      <c r="V4" s="43">
        <f t="shared" si="0"/>
        <v>45900</v>
      </c>
      <c r="W4" s="41">
        <f t="shared" si="0"/>
        <v>45901</v>
      </c>
      <c r="X4" s="42">
        <f t="shared" si="0"/>
        <v>45902</v>
      </c>
      <c r="Y4" s="42">
        <f t="shared" si="0"/>
        <v>45903</v>
      </c>
      <c r="Z4" s="42">
        <f t="shared" si="0"/>
        <v>45904</v>
      </c>
      <c r="AA4" s="42">
        <f t="shared" si="0"/>
        <v>45905</v>
      </c>
      <c r="AB4" s="42">
        <f t="shared" si="0"/>
        <v>45906</v>
      </c>
      <c r="AC4" s="43">
        <f t="shared" si="0"/>
        <v>45907</v>
      </c>
      <c r="AD4" s="41">
        <f t="shared" si="0"/>
        <v>45908</v>
      </c>
      <c r="AE4" s="42">
        <f t="shared" si="0"/>
        <v>45909</v>
      </c>
      <c r="AF4" s="42">
        <f t="shared" si="0"/>
        <v>45910</v>
      </c>
      <c r="AG4" s="42">
        <f t="shared" si="0"/>
        <v>45911</v>
      </c>
      <c r="AH4" s="42">
        <f t="shared" si="0"/>
        <v>45912</v>
      </c>
      <c r="AI4" s="42">
        <f t="shared" si="0"/>
        <v>45913</v>
      </c>
      <c r="AJ4" s="43">
        <f t="shared" si="0"/>
        <v>45914</v>
      </c>
      <c r="AK4" s="41">
        <f t="shared" si="0"/>
        <v>45915</v>
      </c>
      <c r="AL4" s="42">
        <f t="shared" si="0"/>
        <v>45916</v>
      </c>
      <c r="AM4" s="42">
        <f t="shared" si="0"/>
        <v>45917</v>
      </c>
      <c r="AN4" s="42">
        <f t="shared" si="0"/>
        <v>45918</v>
      </c>
      <c r="AO4" s="42">
        <f t="shared" si="0"/>
        <v>45919</v>
      </c>
      <c r="AP4" s="42">
        <f t="shared" ref="AP4:BL4" si="1">AO4+1</f>
        <v>45920</v>
      </c>
      <c r="AQ4" s="43">
        <f t="shared" si="1"/>
        <v>45921</v>
      </c>
      <c r="AR4" s="41">
        <f t="shared" si="1"/>
        <v>45922</v>
      </c>
      <c r="AS4" s="42">
        <f t="shared" si="1"/>
        <v>45923</v>
      </c>
      <c r="AT4" s="42">
        <f t="shared" si="1"/>
        <v>45924</v>
      </c>
      <c r="AU4" s="42">
        <f t="shared" si="1"/>
        <v>45925</v>
      </c>
      <c r="AV4" s="42">
        <f t="shared" si="1"/>
        <v>45926</v>
      </c>
      <c r="AW4" s="42">
        <f t="shared" si="1"/>
        <v>45927</v>
      </c>
      <c r="AX4" s="43">
        <f t="shared" si="1"/>
        <v>45928</v>
      </c>
      <c r="AY4" s="41">
        <f t="shared" si="1"/>
        <v>45929</v>
      </c>
      <c r="AZ4" s="42">
        <f t="shared" si="1"/>
        <v>45930</v>
      </c>
      <c r="BA4" s="42">
        <f t="shared" si="1"/>
        <v>45931</v>
      </c>
      <c r="BB4" s="42">
        <f t="shared" si="1"/>
        <v>45932</v>
      </c>
      <c r="BC4" s="42">
        <f t="shared" si="1"/>
        <v>45933</v>
      </c>
      <c r="BD4" s="42">
        <f t="shared" si="1"/>
        <v>45934</v>
      </c>
      <c r="BE4" s="43">
        <f t="shared" si="1"/>
        <v>45935</v>
      </c>
      <c r="BF4" s="41">
        <f t="shared" si="1"/>
        <v>45936</v>
      </c>
      <c r="BG4" s="42">
        <f t="shared" si="1"/>
        <v>45937</v>
      </c>
      <c r="BH4" s="42">
        <f t="shared" si="1"/>
        <v>45938</v>
      </c>
      <c r="BI4" s="42">
        <f t="shared" si="1"/>
        <v>45939</v>
      </c>
      <c r="BJ4" s="42">
        <f t="shared" si="1"/>
        <v>45940</v>
      </c>
      <c r="BK4" s="42">
        <f t="shared" si="1"/>
        <v>45941</v>
      </c>
      <c r="BL4" s="43">
        <f t="shared" si="1"/>
        <v>45942</v>
      </c>
    </row>
    <row r="5" spans="1:64" ht="30" customHeight="1" thickBot="1" x14ac:dyDescent="0.35">
      <c r="A5" s="33" t="s">
        <v>10</v>
      </c>
      <c r="B5" s="8" t="s">
        <v>11</v>
      </c>
      <c r="C5" s="9" t="s">
        <v>56</v>
      </c>
      <c r="D5" s="9" t="s">
        <v>12</v>
      </c>
      <c r="E5" s="9" t="s">
        <v>13</v>
      </c>
      <c r="F5" s="9" t="s">
        <v>14</v>
      </c>
      <c r="G5" s="9"/>
      <c r="H5" s="9" t="s">
        <v>15</v>
      </c>
      <c r="I5" s="10" t="str">
        <f t="shared" ref="I5:AN5" si="2">LEFT(TEXT(I4,"ddd"),1)</f>
        <v>l</v>
      </c>
      <c r="J5" s="10" t="str">
        <f t="shared" si="2"/>
        <v>m</v>
      </c>
      <c r="K5" s="10" t="str">
        <f t="shared" si="2"/>
        <v>m</v>
      </c>
      <c r="L5" s="10" t="str">
        <f t="shared" si="2"/>
        <v>j</v>
      </c>
      <c r="M5" s="10" t="str">
        <f t="shared" si="2"/>
        <v>v</v>
      </c>
      <c r="N5" s="10" t="str">
        <f t="shared" si="2"/>
        <v>s</v>
      </c>
      <c r="O5" s="10" t="str">
        <f t="shared" si="2"/>
        <v>d</v>
      </c>
      <c r="P5" s="10" t="str">
        <f t="shared" si="2"/>
        <v>l</v>
      </c>
      <c r="Q5" s="10" t="str">
        <f t="shared" si="2"/>
        <v>m</v>
      </c>
      <c r="R5" s="10" t="str">
        <f t="shared" si="2"/>
        <v>m</v>
      </c>
      <c r="S5" s="10" t="str">
        <f t="shared" si="2"/>
        <v>j</v>
      </c>
      <c r="T5" s="10" t="str">
        <f t="shared" si="2"/>
        <v>v</v>
      </c>
      <c r="U5" s="10" t="str">
        <f t="shared" si="2"/>
        <v>s</v>
      </c>
      <c r="V5" s="10" t="str">
        <f t="shared" si="2"/>
        <v>d</v>
      </c>
      <c r="W5" s="10" t="str">
        <f t="shared" si="2"/>
        <v>l</v>
      </c>
      <c r="X5" s="10" t="str">
        <f t="shared" si="2"/>
        <v>m</v>
      </c>
      <c r="Y5" s="10" t="str">
        <f t="shared" si="2"/>
        <v>m</v>
      </c>
      <c r="Z5" s="10" t="str">
        <f t="shared" si="2"/>
        <v>j</v>
      </c>
      <c r="AA5" s="10" t="str">
        <f t="shared" si="2"/>
        <v>v</v>
      </c>
      <c r="AB5" s="10" t="str">
        <f t="shared" si="2"/>
        <v>s</v>
      </c>
      <c r="AC5" s="10" t="str">
        <f t="shared" si="2"/>
        <v>d</v>
      </c>
      <c r="AD5" s="10" t="str">
        <f t="shared" si="2"/>
        <v>l</v>
      </c>
      <c r="AE5" s="10" t="str">
        <f t="shared" si="2"/>
        <v>m</v>
      </c>
      <c r="AF5" s="10" t="str">
        <f t="shared" si="2"/>
        <v>m</v>
      </c>
      <c r="AG5" s="10" t="str">
        <f t="shared" si="2"/>
        <v>j</v>
      </c>
      <c r="AH5" s="10" t="str">
        <f t="shared" si="2"/>
        <v>v</v>
      </c>
      <c r="AI5" s="10" t="str">
        <f t="shared" si="2"/>
        <v>s</v>
      </c>
      <c r="AJ5" s="10" t="str">
        <f t="shared" si="2"/>
        <v>d</v>
      </c>
      <c r="AK5" s="10" t="str">
        <f t="shared" si="2"/>
        <v>l</v>
      </c>
      <c r="AL5" s="10" t="str">
        <f t="shared" si="2"/>
        <v>m</v>
      </c>
      <c r="AM5" s="10" t="str">
        <f t="shared" si="2"/>
        <v>m</v>
      </c>
      <c r="AN5" s="10" t="str">
        <f t="shared" si="2"/>
        <v>j</v>
      </c>
      <c r="AO5" s="10" t="str">
        <f t="shared" ref="AO5:BL5" si="3">LEFT(TEXT(AO4,"ddd"),1)</f>
        <v>v</v>
      </c>
      <c r="AP5" s="10" t="str">
        <f t="shared" si="3"/>
        <v>s</v>
      </c>
      <c r="AQ5" s="10" t="str">
        <f t="shared" si="3"/>
        <v>d</v>
      </c>
      <c r="AR5" s="10" t="str">
        <f t="shared" si="3"/>
        <v>l</v>
      </c>
      <c r="AS5" s="10" t="str">
        <f t="shared" si="3"/>
        <v>m</v>
      </c>
      <c r="AT5" s="10" t="str">
        <f t="shared" si="3"/>
        <v>m</v>
      </c>
      <c r="AU5" s="10" t="str">
        <f t="shared" si="3"/>
        <v>j</v>
      </c>
      <c r="AV5" s="10" t="str">
        <f t="shared" si="3"/>
        <v>v</v>
      </c>
      <c r="AW5" s="10" t="str">
        <f t="shared" si="3"/>
        <v>s</v>
      </c>
      <c r="AX5" s="10" t="str">
        <f t="shared" si="3"/>
        <v>d</v>
      </c>
      <c r="AY5" s="10" t="str">
        <f t="shared" si="3"/>
        <v>l</v>
      </c>
      <c r="AZ5" s="10" t="str">
        <f t="shared" si="3"/>
        <v>m</v>
      </c>
      <c r="BA5" s="10" t="str">
        <f t="shared" si="3"/>
        <v>m</v>
      </c>
      <c r="BB5" s="10" t="str">
        <f t="shared" si="3"/>
        <v>j</v>
      </c>
      <c r="BC5" s="10" t="str">
        <f t="shared" si="3"/>
        <v>v</v>
      </c>
      <c r="BD5" s="10" t="str">
        <f t="shared" si="3"/>
        <v>s</v>
      </c>
      <c r="BE5" s="10" t="str">
        <f t="shared" si="3"/>
        <v>d</v>
      </c>
      <c r="BF5" s="10" t="str">
        <f t="shared" si="3"/>
        <v>l</v>
      </c>
      <c r="BG5" s="10" t="str">
        <f t="shared" si="3"/>
        <v>m</v>
      </c>
      <c r="BH5" s="10" t="str">
        <f t="shared" si="3"/>
        <v>m</v>
      </c>
      <c r="BI5" s="10" t="str">
        <f t="shared" si="3"/>
        <v>j</v>
      </c>
      <c r="BJ5" s="10" t="str">
        <f t="shared" si="3"/>
        <v>v</v>
      </c>
      <c r="BK5" s="10" t="str">
        <f t="shared" si="3"/>
        <v>s</v>
      </c>
      <c r="BL5" s="10" t="str">
        <f t="shared" si="3"/>
        <v>d</v>
      </c>
    </row>
    <row r="6" spans="1:64" ht="30" hidden="1" customHeight="1" thickBot="1" x14ac:dyDescent="0.35">
      <c r="A6" s="32" t="s">
        <v>16</v>
      </c>
      <c r="C6" s="35"/>
      <c r="H6" t="str">
        <f>IF(OR(ISBLANK(task_start),ISBLANK(task_end)),"",task_end-task_start+1)</f>
        <v/>
      </c>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row>
    <row r="7" spans="1:64" s="3" customFormat="1" ht="30" customHeight="1" thickBot="1" x14ac:dyDescent="0.35">
      <c r="A7" s="33" t="s">
        <v>17</v>
      </c>
      <c r="B7" s="64" t="s">
        <v>57</v>
      </c>
      <c r="C7" s="65"/>
      <c r="D7" s="69"/>
      <c r="E7" s="70"/>
      <c r="F7" s="71"/>
      <c r="G7" s="72"/>
      <c r="H7" s="13" t="str">
        <f>IF(OR(ISBLANK(task_start),ISBLANK(task_end)),"",task_end-task_start+1)</f>
        <v/>
      </c>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row>
    <row r="8" spans="1:64" s="3" customFormat="1" ht="30" customHeight="1" thickBot="1" x14ac:dyDescent="0.35">
      <c r="A8" s="33" t="s">
        <v>19</v>
      </c>
      <c r="B8" s="63" t="s">
        <v>62</v>
      </c>
      <c r="C8" s="63" t="s">
        <v>61</v>
      </c>
      <c r="D8" s="66" t="s">
        <v>18</v>
      </c>
      <c r="E8" s="67">
        <v>45887</v>
      </c>
      <c r="F8" s="67">
        <v>45892</v>
      </c>
      <c r="G8" s="68"/>
      <c r="H8" s="13">
        <f t="shared" ref="H8:H30" si="4">IF(OR(ISBLANK(task_start),ISBLANK(task_end)),"",task_end-task_start+1)</f>
        <v>6</v>
      </c>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row>
    <row r="9" spans="1:64" s="3" customFormat="1" ht="30" customHeight="1" thickBot="1" x14ac:dyDescent="0.35">
      <c r="A9" s="33" t="s">
        <v>21</v>
      </c>
      <c r="B9" s="61" t="s">
        <v>60</v>
      </c>
      <c r="C9" s="61" t="s">
        <v>24</v>
      </c>
      <c r="D9" s="46" t="s">
        <v>18</v>
      </c>
      <c r="E9" s="62">
        <v>45893</v>
      </c>
      <c r="F9" s="62">
        <v>45902</v>
      </c>
      <c r="G9" s="47"/>
      <c r="H9" s="13">
        <f t="shared" si="4"/>
        <v>10</v>
      </c>
      <c r="I9" s="18"/>
      <c r="J9" s="18"/>
      <c r="K9" s="18"/>
      <c r="L9" s="18"/>
      <c r="M9" s="18"/>
      <c r="N9" s="18"/>
      <c r="O9" s="18"/>
      <c r="P9" s="18"/>
      <c r="Q9" s="18"/>
      <c r="R9" s="18"/>
      <c r="S9" s="18"/>
      <c r="T9" s="18"/>
      <c r="U9" s="19"/>
      <c r="V9" s="19"/>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row>
    <row r="10" spans="1:64" s="3" customFormat="1" ht="30" customHeight="1" thickBot="1" x14ac:dyDescent="0.35">
      <c r="A10" s="32"/>
      <c r="B10" s="44" t="s">
        <v>20</v>
      </c>
      <c r="C10" s="45" t="s">
        <v>5</v>
      </c>
      <c r="D10" s="46" t="s">
        <v>18</v>
      </c>
      <c r="E10" s="46">
        <v>45905</v>
      </c>
      <c r="F10" s="95">
        <v>45905</v>
      </c>
      <c r="G10" s="47"/>
      <c r="H10" s="13">
        <f t="shared" si="4"/>
        <v>1</v>
      </c>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4" s="3" customFormat="1" ht="30" customHeight="1" thickBot="1" x14ac:dyDescent="0.35">
      <c r="A11" s="32"/>
      <c r="B11" s="44" t="s">
        <v>22</v>
      </c>
      <c r="C11" s="45" t="s">
        <v>24</v>
      </c>
      <c r="D11" s="46" t="s">
        <v>18</v>
      </c>
      <c r="E11" s="46">
        <v>45907</v>
      </c>
      <c r="F11" s="95">
        <v>45925</v>
      </c>
      <c r="G11" s="47"/>
      <c r="H11" s="13">
        <f t="shared" si="4"/>
        <v>19</v>
      </c>
      <c r="I11" s="18"/>
      <c r="J11" s="18"/>
      <c r="K11" s="18"/>
      <c r="L11" s="18"/>
      <c r="M11" s="18"/>
      <c r="N11" s="18"/>
      <c r="O11" s="18"/>
      <c r="P11" s="18"/>
      <c r="Q11" s="18"/>
      <c r="R11" s="18"/>
      <c r="S11" s="18"/>
      <c r="T11" s="18"/>
      <c r="U11" s="18"/>
      <c r="V11" s="18"/>
      <c r="W11" s="18"/>
      <c r="X11" s="18"/>
      <c r="Y11" s="1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row>
    <row r="12" spans="1:64" s="3" customFormat="1" ht="30" customHeight="1" thickBot="1" x14ac:dyDescent="0.35">
      <c r="A12" s="32"/>
      <c r="B12" s="44" t="s">
        <v>23</v>
      </c>
      <c r="C12" s="45" t="s">
        <v>24</v>
      </c>
      <c r="D12" s="46" t="s">
        <v>18</v>
      </c>
      <c r="E12" s="46">
        <v>45908</v>
      </c>
      <c r="F12" s="95">
        <v>45926</v>
      </c>
      <c r="G12" s="47"/>
      <c r="H12" s="13">
        <f t="shared" si="4"/>
        <v>19</v>
      </c>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row>
    <row r="13" spans="1:64" s="3" customFormat="1" ht="30" customHeight="1" thickBot="1" x14ac:dyDescent="0.35">
      <c r="A13" s="33" t="s">
        <v>27</v>
      </c>
      <c r="B13" s="44" t="s">
        <v>25</v>
      </c>
      <c r="C13" s="45" t="s">
        <v>5</v>
      </c>
      <c r="D13" s="46" t="s">
        <v>18</v>
      </c>
      <c r="E13" s="46">
        <v>45910</v>
      </c>
      <c r="F13" s="95">
        <v>45927</v>
      </c>
      <c r="G13" s="47"/>
      <c r="H13" s="13">
        <f t="shared" si="4"/>
        <v>18</v>
      </c>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row>
    <row r="14" spans="1:64" s="3" customFormat="1" ht="30" customHeight="1" thickBot="1" x14ac:dyDescent="0.35">
      <c r="A14" s="33"/>
      <c r="B14" s="73" t="s">
        <v>26</v>
      </c>
      <c r="C14" s="74" t="s">
        <v>5</v>
      </c>
      <c r="D14" s="46" t="s">
        <v>18</v>
      </c>
      <c r="E14" s="75">
        <v>45911</v>
      </c>
      <c r="F14" s="96">
        <v>45928</v>
      </c>
      <c r="G14" s="76"/>
      <c r="H14" s="13">
        <f t="shared" si="4"/>
        <v>18</v>
      </c>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row>
    <row r="15" spans="1:64" s="3" customFormat="1" ht="30" customHeight="1" thickBot="1" x14ac:dyDescent="0.35">
      <c r="A15" s="32"/>
      <c r="B15" s="81" t="s">
        <v>58</v>
      </c>
      <c r="C15" s="82"/>
      <c r="D15" s="83"/>
      <c r="E15" s="84"/>
      <c r="F15" s="85"/>
      <c r="G15" s="86"/>
      <c r="H15" s="13" t="str">
        <f t="shared" si="4"/>
        <v/>
      </c>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row>
    <row r="16" spans="1:64" s="3" customFormat="1" ht="30" customHeight="1" thickBot="1" x14ac:dyDescent="0.35">
      <c r="A16" s="32"/>
      <c r="B16" s="77" t="s">
        <v>28</v>
      </c>
      <c r="C16" s="78" t="s">
        <v>24</v>
      </c>
      <c r="D16" s="99">
        <v>1</v>
      </c>
      <c r="E16" s="79">
        <v>45929</v>
      </c>
      <c r="F16" s="97">
        <v>45933</v>
      </c>
      <c r="G16" s="80"/>
      <c r="H16" s="13">
        <f t="shared" si="4"/>
        <v>5</v>
      </c>
      <c r="I16" s="18"/>
      <c r="J16" s="18"/>
      <c r="K16" s="18"/>
      <c r="L16" s="18"/>
      <c r="M16" s="18"/>
      <c r="N16" s="18"/>
      <c r="O16" s="18"/>
      <c r="P16" s="18"/>
      <c r="Q16" s="18"/>
      <c r="R16" s="18"/>
      <c r="S16" s="18"/>
      <c r="T16" s="18"/>
      <c r="U16" s="18"/>
      <c r="V16" s="18"/>
      <c r="W16" s="18"/>
      <c r="X16" s="18"/>
      <c r="Y16" s="19"/>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row>
    <row r="17" spans="1:64" s="3" customFormat="1" ht="30" customHeight="1" thickBot="1" x14ac:dyDescent="0.35">
      <c r="A17" s="32"/>
      <c r="B17" s="50" t="s">
        <v>65</v>
      </c>
      <c r="C17" s="48" t="s">
        <v>63</v>
      </c>
      <c r="D17" s="99">
        <v>1</v>
      </c>
      <c r="E17" s="51">
        <v>45935</v>
      </c>
      <c r="F17" s="98">
        <v>45935</v>
      </c>
      <c r="G17" s="49"/>
      <c r="H17" s="13">
        <f t="shared" si="4"/>
        <v>1</v>
      </c>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row>
    <row r="18" spans="1:64" s="3" customFormat="1" ht="30" customHeight="1" thickBot="1" x14ac:dyDescent="0.35">
      <c r="A18" s="32" t="s">
        <v>33</v>
      </c>
      <c r="B18" s="50" t="s">
        <v>64</v>
      </c>
      <c r="C18" s="48" t="s">
        <v>24</v>
      </c>
      <c r="D18" s="99">
        <v>1</v>
      </c>
      <c r="E18" s="51">
        <v>45936</v>
      </c>
      <c r="F18" s="98">
        <v>45940</v>
      </c>
      <c r="G18" s="49"/>
      <c r="H18" s="13">
        <f t="shared" si="4"/>
        <v>5</v>
      </c>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row>
    <row r="19" spans="1:64" s="3" customFormat="1" ht="30" customHeight="1" thickBot="1" x14ac:dyDescent="0.35">
      <c r="A19" s="32"/>
      <c r="B19" s="50" t="s">
        <v>29</v>
      </c>
      <c r="C19" s="48" t="s">
        <v>24</v>
      </c>
      <c r="D19" s="99">
        <v>1</v>
      </c>
      <c r="E19" s="51">
        <v>45936</v>
      </c>
      <c r="F19" s="98">
        <v>45940</v>
      </c>
      <c r="G19" s="49"/>
      <c r="H19" s="13">
        <f t="shared" si="4"/>
        <v>5</v>
      </c>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row>
    <row r="20" spans="1:64" s="3" customFormat="1" ht="30" customHeight="1" thickBot="1" x14ac:dyDescent="0.35">
      <c r="A20" s="32"/>
      <c r="B20" s="50" t="s">
        <v>30</v>
      </c>
      <c r="C20" s="48" t="s">
        <v>24</v>
      </c>
      <c r="D20" s="99">
        <v>1</v>
      </c>
      <c r="E20" s="51">
        <v>45941</v>
      </c>
      <c r="F20" s="98">
        <v>45946</v>
      </c>
      <c r="G20" s="49"/>
      <c r="H20" s="13">
        <f t="shared" si="4"/>
        <v>6</v>
      </c>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row>
    <row r="21" spans="1:64" s="3" customFormat="1" ht="30" customHeight="1" thickBot="1" x14ac:dyDescent="0.35">
      <c r="A21" s="32"/>
      <c r="B21" s="50" t="s">
        <v>31</v>
      </c>
      <c r="C21" s="48" t="s">
        <v>24</v>
      </c>
      <c r="D21" s="99">
        <v>1</v>
      </c>
      <c r="E21" s="51">
        <v>45947</v>
      </c>
      <c r="F21" s="98">
        <v>45950</v>
      </c>
      <c r="G21" s="49"/>
      <c r="H21" s="13">
        <f t="shared" si="4"/>
        <v>4</v>
      </c>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row>
    <row r="22" spans="1:64" s="3" customFormat="1" ht="30" customHeight="1" thickBot="1" x14ac:dyDescent="0.35">
      <c r="A22" s="32"/>
      <c r="B22" s="50" t="s">
        <v>32</v>
      </c>
      <c r="C22" s="48" t="s">
        <v>24</v>
      </c>
      <c r="D22" s="99">
        <v>1</v>
      </c>
      <c r="E22" s="51">
        <v>45951</v>
      </c>
      <c r="F22" s="98">
        <v>45954</v>
      </c>
      <c r="G22" s="49"/>
      <c r="H22" s="13">
        <f t="shared" si="4"/>
        <v>4</v>
      </c>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row>
    <row r="23" spans="1:64" s="3" customFormat="1" ht="30" customHeight="1" thickBot="1" x14ac:dyDescent="0.35">
      <c r="A23" s="32" t="s">
        <v>33</v>
      </c>
      <c r="B23" s="87" t="s">
        <v>34</v>
      </c>
      <c r="C23" s="88" t="s">
        <v>5</v>
      </c>
      <c r="D23" s="99">
        <v>1</v>
      </c>
      <c r="E23" s="89">
        <v>45954</v>
      </c>
      <c r="F23" s="100">
        <v>45957</v>
      </c>
      <c r="G23" s="90"/>
      <c r="H23" s="13">
        <f t="shared" si="4"/>
        <v>4</v>
      </c>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row>
    <row r="24" spans="1:64" s="3" customFormat="1" ht="30" customHeight="1" thickBot="1" x14ac:dyDescent="0.35">
      <c r="A24" s="32"/>
      <c r="B24" s="81" t="s">
        <v>59</v>
      </c>
      <c r="C24" s="82"/>
      <c r="D24" s="83"/>
      <c r="E24" s="84"/>
      <c r="F24" s="85"/>
      <c r="G24" s="86"/>
      <c r="H24" s="13" t="str">
        <f t="shared" si="4"/>
        <v/>
      </c>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row>
    <row r="25" spans="1:64" s="3" customFormat="1" ht="30" customHeight="1" thickBot="1" x14ac:dyDescent="0.35">
      <c r="A25" s="32"/>
      <c r="B25" s="91" t="s">
        <v>35</v>
      </c>
      <c r="C25" s="92" t="s">
        <v>24</v>
      </c>
      <c r="D25" s="104">
        <v>1</v>
      </c>
      <c r="E25" s="93">
        <v>45958</v>
      </c>
      <c r="F25" s="101">
        <v>45961</v>
      </c>
      <c r="G25" s="94"/>
      <c r="H25" s="13">
        <f t="shared" si="4"/>
        <v>4</v>
      </c>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row>
    <row r="26" spans="1:64" s="3" customFormat="1" ht="30" customHeight="1" thickBot="1" x14ac:dyDescent="0.35">
      <c r="A26" s="32"/>
      <c r="B26" s="52" t="s">
        <v>36</v>
      </c>
      <c r="C26" s="53" t="s">
        <v>5</v>
      </c>
      <c r="D26" s="104">
        <v>1</v>
      </c>
      <c r="E26" s="54">
        <v>45964</v>
      </c>
      <c r="F26" s="102">
        <v>45967</v>
      </c>
      <c r="G26" s="55"/>
      <c r="H26" s="13">
        <f t="shared" si="4"/>
        <v>4</v>
      </c>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row>
    <row r="27" spans="1:64" s="3" customFormat="1" ht="30" customHeight="1" thickBot="1" x14ac:dyDescent="0.35">
      <c r="A27" s="32"/>
      <c r="B27" s="52" t="s">
        <v>37</v>
      </c>
      <c r="C27" s="53" t="s">
        <v>24</v>
      </c>
      <c r="D27" s="104">
        <v>1</v>
      </c>
      <c r="E27" s="54">
        <v>45971</v>
      </c>
      <c r="F27" s="102">
        <v>45973</v>
      </c>
      <c r="G27" s="55"/>
      <c r="H27" s="13">
        <f t="shared" si="4"/>
        <v>3</v>
      </c>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row>
    <row r="28" spans="1:64" s="3" customFormat="1" ht="30" customHeight="1" thickBot="1" x14ac:dyDescent="0.35">
      <c r="A28" s="32"/>
      <c r="B28" s="52" t="s">
        <v>38</v>
      </c>
      <c r="C28" s="53" t="s">
        <v>5</v>
      </c>
      <c r="D28" s="104">
        <v>1</v>
      </c>
      <c r="E28" s="54">
        <v>45974</v>
      </c>
      <c r="F28" s="102">
        <v>45982</v>
      </c>
      <c r="G28" s="55"/>
      <c r="H28" s="13">
        <f t="shared" si="4"/>
        <v>9</v>
      </c>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row>
    <row r="29" spans="1:64" s="3" customFormat="1" ht="30" customHeight="1" thickBot="1" x14ac:dyDescent="0.35">
      <c r="A29" s="32" t="s">
        <v>40</v>
      </c>
      <c r="B29" s="56" t="s">
        <v>39</v>
      </c>
      <c r="C29" s="53" t="s">
        <v>5</v>
      </c>
      <c r="D29" s="103">
        <v>0.8</v>
      </c>
      <c r="E29" s="57">
        <v>45983</v>
      </c>
      <c r="F29" s="102">
        <v>45992</v>
      </c>
      <c r="G29" s="55"/>
      <c r="H29" s="13">
        <f t="shared" si="4"/>
        <v>10</v>
      </c>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row>
    <row r="30" spans="1:64" ht="30" customHeight="1" thickBot="1" x14ac:dyDescent="0.35">
      <c r="A30" s="33" t="s">
        <v>41</v>
      </c>
      <c r="B30" s="14" t="s">
        <v>42</v>
      </c>
      <c r="C30" s="15"/>
      <c r="D30" s="16"/>
      <c r="E30" s="58"/>
      <c r="F30" s="59"/>
      <c r="G30" s="17"/>
      <c r="H30" s="17" t="str">
        <f t="shared" si="4"/>
        <v/>
      </c>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row>
    <row r="31" spans="1:64" ht="30" customHeight="1" x14ac:dyDescent="0.3">
      <c r="G31" s="6"/>
    </row>
    <row r="32" spans="1:64" ht="30" customHeight="1" x14ac:dyDescent="0.3">
      <c r="C32" s="11"/>
      <c r="F32" s="34"/>
    </row>
    <row r="33" spans="3:3" ht="14.4" x14ac:dyDescent="0.3">
      <c r="C33" s="12"/>
    </row>
  </sheetData>
  <mergeCells count="11">
    <mergeCell ref="BF3:BL3"/>
    <mergeCell ref="E2:F2"/>
    <mergeCell ref="I3:O3"/>
    <mergeCell ref="P3:V3"/>
    <mergeCell ref="W3:AC3"/>
    <mergeCell ref="AD3:AJ3"/>
    <mergeCell ref="C2:D2"/>
    <mergeCell ref="C3:D3"/>
    <mergeCell ref="AK3:AQ3"/>
    <mergeCell ref="AR3:AX3"/>
    <mergeCell ref="AY3:BE3"/>
  </mergeCells>
  <conditionalFormatting sqref="D6:D7 C25:C29 C9:C14 C16 C19:C23">
    <cfRule type="dataBar" priority="20">
      <dataBar>
        <cfvo type="num" val="0"/>
        <cfvo type="num" val="1"/>
        <color theme="0" tint="-0.249977111117893"/>
      </dataBar>
    </cfRule>
  </conditionalFormatting>
  <conditionalFormatting sqref="I4:BL29">
    <cfRule type="expression" dxfId="2" priority="39">
      <formula>AND(TODAY()&gt;=I$4,TODAY()&lt;J$4)</formula>
    </cfRule>
  </conditionalFormatting>
  <conditionalFormatting sqref="I6:BL29">
    <cfRule type="expression" dxfId="1" priority="33">
      <formula>AND(task_start&lt;=I$4,ROUNDDOWN((task_end-task_start+1)*task_progress,0)+task_start-1&gt;=I$4)</formula>
    </cfRule>
    <cfRule type="expression" dxfId="0" priority="34" stopIfTrue="1">
      <formula>AND(task_end&gt;=I$4,task_start&lt;J$4)</formula>
    </cfRule>
  </conditionalFormatting>
  <conditionalFormatting sqref="D15">
    <cfRule type="dataBar" priority="5">
      <dataBar>
        <cfvo type="num" val="0"/>
        <cfvo type="num" val="1"/>
        <color theme="0" tint="-0.249977111117893"/>
      </dataBar>
    </cfRule>
  </conditionalFormatting>
  <conditionalFormatting sqref="D24">
    <cfRule type="dataBar" priority="4">
      <dataBar>
        <cfvo type="num" val="0"/>
        <cfvo type="num" val="1"/>
        <color theme="0" tint="-0.249977111117893"/>
      </dataBar>
    </cfRule>
  </conditionalFormatting>
  <conditionalFormatting sqref="C8">
    <cfRule type="dataBar" priority="3">
      <dataBar>
        <cfvo type="num" val="0"/>
        <cfvo type="num" val="1"/>
        <color theme="0" tint="-0.249977111117893"/>
      </dataBar>
    </cfRule>
  </conditionalFormatting>
  <conditionalFormatting sqref="C17">
    <cfRule type="dataBar" priority="2">
      <dataBar>
        <cfvo type="num" val="0"/>
        <cfvo type="num" val="1"/>
        <color theme="0" tint="-0.249977111117893"/>
      </dataBar>
    </cfRule>
  </conditionalFormatting>
  <conditionalFormatting sqref="C18">
    <cfRule type="dataBar" priority="1">
      <dataBar>
        <cfvo type="num" val="0"/>
        <cfvo type="num" val="1"/>
        <color theme="0" tint="-0.249977111117893"/>
      </dataBar>
    </cfRule>
  </conditionalFormatting>
  <dataValidations count="1">
    <dataValidation type="whole" operator="greaterThanOrEqual" allowBlank="1" showInputMessage="1" showErrorMessage="1" promptTitle="Mostrar semana" prompt="Al cambiar este número, se desplazará la vista del diagrama de Gantt." sqref="E3" xr:uid="{00000000-0002-0000-0000-000000000000}">
      <formula1>1</formula1>
    </dataValidation>
  </dataValidations>
  <hyperlinks>
    <hyperlink ref="I1" r:id="rId1" xr:uid="{00000000-0004-0000-0000-000000000000}"/>
  </hyperlinks>
  <printOptions horizontalCentered="1"/>
  <pageMargins left="0.35" right="0.35" top="0.35" bottom="0.5" header="0.3" footer="0.3"/>
  <pageSetup paperSize="9" scale="50" fitToHeight="0" orientation="landscape" r:id="rId2"/>
  <headerFooter differentFirst="1" scaleWithDoc="0">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22" customWidth="1"/>
    <col min="2" max="2" width="9.109375" style="2" customWidth="1"/>
    <col min="3" max="16384" width="9.109375" style="2"/>
  </cols>
  <sheetData>
    <row r="1" spans="1:2" ht="46.5" customHeight="1" x14ac:dyDescent="0.3"/>
    <row r="2" spans="1:2" s="24" customFormat="1" ht="15.6" customHeight="1" x14ac:dyDescent="0.3">
      <c r="A2" s="23" t="s">
        <v>2</v>
      </c>
      <c r="B2" s="23"/>
    </row>
    <row r="3" spans="1:2" s="28" customFormat="1" ht="27" customHeight="1" x14ac:dyDescent="0.3">
      <c r="A3" s="40" t="s">
        <v>3</v>
      </c>
      <c r="B3" s="29"/>
    </row>
    <row r="4" spans="1:2" s="25" customFormat="1" ht="25.8" customHeight="1" x14ac:dyDescent="0.5">
      <c r="A4" s="26" t="s">
        <v>43</v>
      </c>
    </row>
    <row r="5" spans="1:2" ht="74.099999999999994" customHeight="1" x14ac:dyDescent="0.3">
      <c r="A5" s="27" t="s">
        <v>44</v>
      </c>
    </row>
    <row r="6" spans="1:2" ht="26.25" customHeight="1" x14ac:dyDescent="0.3">
      <c r="A6" s="26" t="s">
        <v>45</v>
      </c>
    </row>
    <row r="7" spans="1:2" s="22" customFormat="1" ht="215.25" customHeight="1" x14ac:dyDescent="0.3">
      <c r="A7" s="31" t="s">
        <v>46</v>
      </c>
    </row>
    <row r="8" spans="1:2" s="25" customFormat="1" ht="25.8" customHeight="1" x14ac:dyDescent="0.5">
      <c r="A8" s="26" t="s">
        <v>47</v>
      </c>
    </row>
    <row r="9" spans="1:2" ht="57.6" customHeight="1" x14ac:dyDescent="0.3">
      <c r="A9" s="27" t="s">
        <v>48</v>
      </c>
    </row>
    <row r="10" spans="1:2" s="22" customFormat="1" ht="27.9" customHeight="1" x14ac:dyDescent="0.3">
      <c r="A10" s="30" t="s">
        <v>49</v>
      </c>
    </row>
    <row r="11" spans="1:2" s="25" customFormat="1" ht="25.8" customHeight="1" x14ac:dyDescent="0.5">
      <c r="A11" s="26" t="s">
        <v>50</v>
      </c>
    </row>
    <row r="12" spans="1:2" ht="28.8" customHeight="1" x14ac:dyDescent="0.3">
      <c r="A12" s="27" t="s">
        <v>51</v>
      </c>
    </row>
    <row r="13" spans="1:2" s="22" customFormat="1" ht="27.9" customHeight="1" x14ac:dyDescent="0.3">
      <c r="A13" s="30" t="s">
        <v>52</v>
      </c>
    </row>
    <row r="14" spans="1:2" s="25" customFormat="1" ht="25.8" customHeight="1" x14ac:dyDescent="0.5">
      <c r="A14" s="26" t="s">
        <v>53</v>
      </c>
    </row>
    <row r="15" spans="1:2" ht="96.75" customHeight="1" x14ac:dyDescent="0.3">
      <c r="A15" s="27" t="s">
        <v>54</v>
      </c>
    </row>
    <row r="16" spans="1:2" ht="86.4" customHeight="1" x14ac:dyDescent="0.3">
      <c r="A16" s="27" t="s">
        <v>55</v>
      </c>
    </row>
  </sheetData>
  <hyperlinks>
    <hyperlink ref="A2" r:id="rId1" xr:uid="{00000000-0004-0000-0100-000000000000}"/>
    <hyperlink ref="A3" r:id="rId2" xr:uid="{00000000-0004-0000-0100-000001000000}"/>
    <hyperlink ref="A10" r:id="rId3" xr:uid="{00000000-0004-0000-0100-000002000000}"/>
    <hyperlink ref="A13" r:id="rId4" xr:uid="{00000000-0004-0000-0100-000003000000}"/>
  </hyperlinks>
  <pageMargins left="0.5" right="0.5" top="0.5" bottom="0.5" header="0.3" footer="0.3"/>
  <pageSetup paperSize="9"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SAUL ELIAS AVILA BUSTOS</cp:lastModifiedBy>
  <dcterms:created xsi:type="dcterms:W3CDTF">2021-12-14T20:18:50Z</dcterms:created>
  <dcterms:modified xsi:type="dcterms:W3CDTF">2025-11-26T14:45:20Z</dcterms:modified>
</cp:coreProperties>
</file>